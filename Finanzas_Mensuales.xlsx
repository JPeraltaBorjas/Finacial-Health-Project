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Proyectos - Financial Data Analyst\Financial Health Dashboard - Proyect\"/>
    </mc:Choice>
  </mc:AlternateContent>
  <xr:revisionPtr revIDLastSave="0" documentId="13_ncr:1_{AD776EBB-9719-4899-A71C-5B93BB4499F2}" xr6:coauthVersionLast="47" xr6:coauthVersionMax="47" xr10:uidLastSave="{00000000-0000-0000-0000-000000000000}"/>
  <bookViews>
    <workbookView xWindow="-120" yWindow="-120" windowWidth="20730" windowHeight="11040" xr2:uid="{F2A77378-B8AB-4B9D-89D2-6B5AF4978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N2" i="1"/>
  <c r="O2" i="1" s="1"/>
  <c r="N3" i="1" l="1"/>
  <c r="O3" i="1" s="1"/>
  <c r="N4" i="1"/>
  <c r="P2" i="1"/>
  <c r="P3" i="1" l="1"/>
  <c r="N5" i="1"/>
  <c r="O4" i="1"/>
  <c r="P4" i="1"/>
  <c r="O5" i="1" l="1"/>
  <c r="P5" i="1"/>
  <c r="N6" i="1"/>
  <c r="O6" i="1" l="1"/>
  <c r="P6" i="1"/>
  <c r="N7" i="1"/>
  <c r="N8" i="1" l="1"/>
  <c r="O7" i="1"/>
  <c r="P7" i="1"/>
  <c r="N9" i="1" l="1"/>
  <c r="O8" i="1"/>
  <c r="P8" i="1"/>
  <c r="O9" i="1" l="1"/>
  <c r="P9" i="1"/>
  <c r="N10" i="1"/>
  <c r="O10" i="1" l="1"/>
  <c r="P10" i="1"/>
  <c r="N11" i="1"/>
  <c r="N12" i="1" l="1"/>
  <c r="O11" i="1"/>
  <c r="P11" i="1"/>
  <c r="N13" i="1" l="1"/>
  <c r="O12" i="1"/>
  <c r="P12" i="1"/>
  <c r="O13" i="1" l="1"/>
  <c r="P13" i="1"/>
  <c r="N14" i="1"/>
  <c r="O14" i="1" l="1"/>
  <c r="P14" i="1"/>
  <c r="N15" i="1"/>
  <c r="O15" i="1" l="1"/>
  <c r="P15" i="1"/>
  <c r="N16" i="1"/>
  <c r="N17" i="1" l="1"/>
  <c r="O16" i="1"/>
  <c r="P16" i="1"/>
  <c r="O17" i="1" l="1"/>
  <c r="P17" i="1"/>
  <c r="N18" i="1"/>
  <c r="O18" i="1" l="1"/>
  <c r="P18" i="1"/>
  <c r="N19" i="1"/>
  <c r="O19" i="1" l="1"/>
  <c r="P19" i="1"/>
  <c r="N20" i="1"/>
  <c r="N21" i="1" l="1"/>
  <c r="O20" i="1"/>
  <c r="P20" i="1"/>
  <c r="O21" i="1" l="1"/>
  <c r="P21" i="1"/>
  <c r="N22" i="1"/>
  <c r="N23" i="1" l="1"/>
  <c r="O22" i="1"/>
  <c r="P22" i="1"/>
  <c r="O23" i="1" l="1"/>
  <c r="P23" i="1"/>
  <c r="N24" i="1"/>
  <c r="N25" i="1" l="1"/>
  <c r="O24" i="1"/>
  <c r="P24" i="1"/>
  <c r="O25" i="1" l="1"/>
  <c r="P25" i="1"/>
  <c r="H20" i="1"/>
  <c r="H18" i="1"/>
  <c r="H19" i="1"/>
  <c r="H23" i="1"/>
  <c r="H3" i="1"/>
  <c r="H7" i="1"/>
  <c r="H5" i="1"/>
  <c r="H10" i="1"/>
  <c r="H25" i="1"/>
  <c r="H6" i="1"/>
  <c r="H15" i="1"/>
  <c r="H16" i="1"/>
  <c r="H4" i="1"/>
  <c r="H12" i="1"/>
  <c r="H14" i="1"/>
  <c r="H11" i="1"/>
  <c r="H9" i="1"/>
  <c r="H13" i="1"/>
  <c r="H21" i="1"/>
  <c r="H24" i="1"/>
  <c r="H8" i="1"/>
  <c r="H22" i="1"/>
  <c r="H17" i="1"/>
  <c r="H2" i="1"/>
  <c r="K3" i="1"/>
  <c r="M3" i="1" s="1"/>
  <c r="Q3" i="1" l="1"/>
  <c r="K4" i="1"/>
  <c r="M4" i="1" s="1"/>
  <c r="Q2" i="1"/>
  <c r="K5" i="1" l="1"/>
  <c r="M5" i="1" s="1"/>
  <c r="Q4" i="1"/>
  <c r="Q5" i="1" l="1"/>
  <c r="K6" i="1"/>
  <c r="M6" i="1" s="1"/>
  <c r="K7" i="1" l="1"/>
  <c r="M7" i="1" s="1"/>
  <c r="Q6" i="1"/>
  <c r="Q7" i="1" l="1"/>
  <c r="K8" i="1"/>
  <c r="M8" i="1" s="1"/>
  <c r="Q8" i="1" l="1"/>
  <c r="K9" i="1"/>
  <c r="M9" i="1" s="1"/>
  <c r="Q9" i="1" l="1"/>
  <c r="K10" i="1"/>
  <c r="M10" i="1" s="1"/>
  <c r="Q10" i="1" l="1"/>
  <c r="K11" i="1"/>
  <c r="M11" i="1" s="1"/>
  <c r="Q11" i="1" l="1"/>
  <c r="K12" i="1"/>
  <c r="M12" i="1" s="1"/>
  <c r="K13" i="1" l="1"/>
  <c r="M13" i="1" s="1"/>
  <c r="Q12" i="1"/>
  <c r="K14" i="1" l="1"/>
  <c r="M14" i="1" s="1"/>
  <c r="Q13" i="1"/>
  <c r="K15" i="1" l="1"/>
  <c r="M15" i="1" s="1"/>
  <c r="Q14" i="1"/>
  <c r="Q15" i="1" l="1"/>
  <c r="K16" i="1"/>
  <c r="M16" i="1" s="1"/>
  <c r="K17" i="1" l="1"/>
  <c r="M17" i="1" s="1"/>
  <c r="Q16" i="1"/>
  <c r="Q17" i="1" l="1"/>
  <c r="K18" i="1"/>
  <c r="M18" i="1" s="1"/>
  <c r="K19" i="1" l="1"/>
  <c r="M19" i="1" s="1"/>
  <c r="Q18" i="1"/>
  <c r="Q19" i="1" l="1"/>
  <c r="K20" i="1"/>
  <c r="M20" i="1" s="1"/>
  <c r="Q20" i="1" l="1"/>
  <c r="K21" i="1"/>
  <c r="M21" i="1" s="1"/>
  <c r="K22" i="1" l="1"/>
  <c r="M22" i="1" s="1"/>
  <c r="Q21" i="1"/>
  <c r="Q22" i="1" l="1"/>
  <c r="K23" i="1"/>
  <c r="M23" i="1" s="1"/>
  <c r="Q23" i="1" l="1"/>
  <c r="K24" i="1"/>
  <c r="M24" i="1" s="1"/>
  <c r="Q24" i="1" l="1"/>
  <c r="K25" i="1"/>
  <c r="M25" i="1" l="1"/>
  <c r="Q25" i="1" s="1"/>
</calcChain>
</file>

<file path=xl/sharedStrings.xml><?xml version="1.0" encoding="utf-8"?>
<sst xmlns="http://schemas.openxmlformats.org/spreadsheetml/2006/main" count="17" uniqueCount="17">
  <si>
    <t>Data</t>
  </si>
  <si>
    <t>Anno</t>
  </si>
  <si>
    <t>Mese</t>
  </si>
  <si>
    <t>Ricavi</t>
  </si>
  <si>
    <t>Costi Variabili</t>
  </si>
  <si>
    <t>Costi fissi</t>
  </si>
  <si>
    <t>Altre spese operative</t>
  </si>
  <si>
    <t>Imposte Pagate</t>
  </si>
  <si>
    <t>EBITDA</t>
  </si>
  <si>
    <t>Livello di alerta</t>
  </si>
  <si>
    <t>Cash_Flow_Neto</t>
  </si>
  <si>
    <t>Margine_Lordo_%</t>
  </si>
  <si>
    <t>Margine_Lordo</t>
  </si>
  <si>
    <t>Cash_Final</t>
  </si>
  <si>
    <t>Cash_Iniziale</t>
  </si>
  <si>
    <t>Pagamenti_ai_fornitori_(cash-out)</t>
  </si>
  <si>
    <t>Pagamenti_dei_clienti_(cash-in)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</si>
</sst>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m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2" applyFont="1"/>
    <xf numFmtId="43" fontId="0" fillId="0" borderId="0" xfId="1" applyFont="1"/>
  </cellXfs>
  <cellStyles count="3">
    <cellStyle name="Millares" xfId="1" builtinId="3"/>
    <cellStyle name="Normal" xfId="0" builtinId="0"/>
    <cellStyle name="Porcentaje" xfId="2" builtinId="5"/>
  </cellStyles>
  <dxfs count="7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164" formatCode="[$-410]m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53257-727E-4CE9-BF54-A54965D66A7D}" name="tbl_finanza" displayName="tbl_finanza" ref="A1:Q25" totalsRowShown="0">
  <autoFilter ref="A1:Q25" xr:uid="{8F253257-727E-4CE9-BF54-A54965D66A7D}"/>
  <tableColumns count="17">
    <tableColumn id="1" xr3:uid="{B37EF9BF-6C61-4429-B62B-4B9D4FEF5D7B}" name="Data" dataDxfId="6"/>
    <tableColumn id="2" xr3:uid="{D6F47D90-834F-4DBE-95BE-240D320013FD}" name="Anno" dataDxfId="5">
      <calculatedColumnFormula>YEAR(tbl_finanza[[#This Row],[Data]])</calculatedColumnFormula>
    </tableColumn>
    <tableColumn id="3" xr3:uid="{3BA7C325-8DA7-43B8-89B9-6791B605F0A3}" name="Mese" dataDxfId="4">
      <calculatedColumnFormula>MONTH(tbl_finanza[[#This Row],[Data]])</calculatedColumnFormula>
    </tableColumn>
    <tableColumn id="4" xr3:uid="{5570C147-C082-4EF4-9003-A325215F5009}" name="Ricavi" dataDxfId="3" dataCellStyle="Millares"/>
    <tableColumn id="5" xr3:uid="{00CBCCD5-535A-45C9-9C4A-800C3FE2B91A}" name="Costi Variabili" dataCellStyle="Millares"/>
    <tableColumn id="6" xr3:uid="{66329501-CF9E-4660-B124-47CFD03CED17}" name="Costi fissi" dataCellStyle="Millares"/>
    <tableColumn id="7" xr3:uid="{4569C3BA-94B4-479C-AEBD-D72720D89BC7}" name="Altre spese operative" dataCellStyle="Millares"/>
    <tableColumn id="8" xr3:uid="{AC3459DB-5D8C-482D-8FA3-C2B0AF82952B}" name="Imposte Pagate" dataCellStyle="Millares">
      <calculatedColumnFormula>+IF(tbl_finanza[Cash_Flow_Neto]&gt;0,tbl_finanza[Cash_Flow_Neto]*0.22,IF(tbl_finanza[Cash_Flow_Neto]&lt;0,0))</calculatedColumnFormula>
    </tableColumn>
    <tableColumn id="9" xr3:uid="{730F202F-1422-4332-B1C5-E24949F6A0CF}" name="Pagamenti_dei_clienti_(cash-in)" dataCellStyle="Millares"/>
    <tableColumn id="10" xr3:uid="{7CD53BE0-E683-4FE1-A8CE-6B169C9339A3}" name="Pagamenti_ai_fornitori_(cash-out)" dataCellStyle="Millares"/>
    <tableColumn id="11" xr3:uid="{E28B4E1B-6CBD-424C-BFD7-16833FF706C3}" name="Cash_Iniziale" dataCellStyle="Millares"/>
    <tableColumn id="16" xr3:uid="{B4BC297C-CF2B-4B49-BC21-1D177D584711}" name="Cash_Flow_Neto" dataDxfId="1" dataCellStyle="Millares">
      <calculatedColumnFormula>tbl_finanza[[#This Row],[Pagamenti_dei_clienti_(cash-in)]]-tbl_finanza[[#This Row],[Pagamenti_ai_fornitori_(cash-out)]]</calculatedColumnFormula>
    </tableColumn>
    <tableColumn id="12" xr3:uid="{E0D735DD-E0C7-4891-99B8-C5B7439CB2A5}" name="Cash_Final" dataDxfId="0" dataCellStyle="Millares">
      <calculatedColumnFormula>tbl_finanza[[#This Row],[Cash_Iniziale]]+tbl_finanza[[#This Row],[Cash_Flow_Neto]]-tbl_finanza[Imposte Pagate]</calculatedColumnFormula>
    </tableColumn>
    <tableColumn id="13" xr3:uid="{730FFA71-764F-4690-B866-351048D33DC8}" name="Margine_Lordo" dataCellStyle="Millares">
      <calculatedColumnFormula>tbl_finanza[[#This Row],[Ricavi]]-tbl_finanza[[#This Row],[Costi Variabili]]</calculatedColumnFormula>
    </tableColumn>
    <tableColumn id="14" xr3:uid="{E4FE26E9-8708-4DC8-8158-A29F5818A87C}" name="Margine_Lordo_%" dataCellStyle="Porcentaje">
      <calculatedColumnFormula>tbl_finanza[[#This Row],[Margine_Lordo]]/tbl_finanza[[#This Row],[Ricavi]]</calculatedColumnFormula>
    </tableColumn>
    <tableColumn id="15" xr3:uid="{836B0FE0-B2FB-46FF-B192-8D65FCE54389}" name="EBITDA" dataCellStyle="Millares">
      <calculatedColumnFormula>tbl_finanza[[#This Row],[Margine_Lordo]]-tbl_finanza[[#This Row],[Costi fissi]]-tbl_finanza[[#This Row],[Altre spese operative]]</calculatedColumnFormula>
    </tableColumn>
    <tableColumn id="17" xr3:uid="{2A251A4C-85DD-4838-BBA4-B9260BFF62F6}" name="Livello di alerta" dataDxfId="2">
      <calculatedColumnFormula>IF(tbl_finanza[Cash_Final]&lt;5000,"CRÍTICO",IF(tbl_finanza[Cash_Final]&lt;10000,"ATENCIÓN","OK"))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DF5B-F578-4E38-8549-487EC9766DF2}">
  <dimension ref="A1:Q26"/>
  <sheetViews>
    <sheetView tabSelected="1" workbookViewId="0">
      <selection activeCell="K6" sqref="K6"/>
    </sheetView>
  </sheetViews>
  <sheetFormatPr baseColWidth="10" defaultRowHeight="15" x14ac:dyDescent="0.25"/>
  <cols>
    <col min="1" max="1" width="13" bestFit="1" customWidth="1"/>
    <col min="2" max="2" width="7.85546875" customWidth="1"/>
    <col min="3" max="3" width="8.28515625" bestFit="1" customWidth="1"/>
    <col min="4" max="4" width="12" bestFit="1" customWidth="1"/>
    <col min="5" max="5" width="15.42578125" customWidth="1"/>
    <col min="6" max="6" width="11.5703125" customWidth="1"/>
    <col min="7" max="7" width="22.140625" customWidth="1"/>
    <col min="8" max="8" width="16.85546875" customWidth="1"/>
    <col min="9" max="9" width="32.28515625" bestFit="1" customWidth="1"/>
    <col min="10" max="10" width="34.28515625" bestFit="1" customWidth="1"/>
    <col min="11" max="11" width="14.85546875" bestFit="1" customWidth="1"/>
    <col min="12" max="12" width="18.140625" bestFit="1" customWidth="1"/>
    <col min="13" max="13" width="16.7109375" bestFit="1" customWidth="1"/>
    <col min="14" max="14" width="19.42578125" bestFit="1" customWidth="1"/>
    <col min="15" max="15" width="12" bestFit="1" customWidth="1"/>
    <col min="16" max="16" width="18.140625" bestFit="1" customWidth="1"/>
    <col min="17" max="17" width="16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15</v>
      </c>
      <c r="K1" t="s">
        <v>14</v>
      </c>
      <c r="L1" t="s">
        <v>10</v>
      </c>
      <c r="M1" t="s">
        <v>13</v>
      </c>
      <c r="N1" t="s">
        <v>12</v>
      </c>
      <c r="O1" t="s">
        <v>11</v>
      </c>
      <c r="P1" t="s">
        <v>8</v>
      </c>
      <c r="Q1" t="s">
        <v>9</v>
      </c>
    </row>
    <row r="2" spans="1:17" x14ac:dyDescent="0.25">
      <c r="A2" s="2">
        <v>44927</v>
      </c>
      <c r="B2">
        <f>YEAR(tbl_finanza[[#This Row],[Data]])</f>
        <v>2023</v>
      </c>
      <c r="C2">
        <f>MONTH(tbl_finanza[[#This Row],[Data]])</f>
        <v>1</v>
      </c>
      <c r="D2" s="4">
        <v>17538</v>
      </c>
      <c r="E2" s="4">
        <v>9285</v>
      </c>
      <c r="F2" s="4">
        <v>4000</v>
      </c>
      <c r="G2" s="4">
        <v>1880</v>
      </c>
      <c r="H2" s="4">
        <f>+IF(tbl_finanza[Cash_Flow_Neto]&gt;0,tbl_finanza[Cash_Flow_Neto]*0.22,IF(tbl_finanza[Cash_Flow_Neto]&lt;0,0))</f>
        <v>0</v>
      </c>
      <c r="I2" s="4">
        <v>11200</v>
      </c>
      <c r="J2" s="4">
        <v>13095</v>
      </c>
      <c r="K2" s="4">
        <v>20000</v>
      </c>
      <c r="L2" s="4">
        <f>tbl_finanza[[#This Row],[Pagamenti_dei_clienti_(cash-in)]]-tbl_finanza[[#This Row],[Pagamenti_ai_fornitori_(cash-out)]]</f>
        <v>-1895</v>
      </c>
      <c r="M2" s="4">
        <f>tbl_finanza[[#This Row],[Cash_Iniziale]]+tbl_finanza[[#This Row],[Cash_Flow_Neto]]-tbl_finanza[Imposte Pagate]</f>
        <v>18105</v>
      </c>
      <c r="N2" s="4">
        <f>tbl_finanza[[#This Row],[Ricavi]]-tbl_finanza[[#This Row],[Costi Variabili]]</f>
        <v>8253</v>
      </c>
      <c r="O2" s="3">
        <f>tbl_finanza[[#This Row],[Margine_Lordo]]/tbl_finanza[[#This Row],[Ricavi]]</f>
        <v>0.4705781731098187</v>
      </c>
      <c r="P2" s="4">
        <f>tbl_finanza[[#This Row],[Margine_Lordo]]-tbl_finanza[[#This Row],[Costi fissi]]-tbl_finanza[[#This Row],[Altre spese operative]]</f>
        <v>2373</v>
      </c>
      <c r="Q2" t="str">
        <f>IF(tbl_finanza[Cash_Final]&lt;5000,"CRÍTICO",IF(tbl_finanza[Cash_Final]&lt;10000,"ATENCIÓN","OK"))</f>
        <v>OK</v>
      </c>
    </row>
    <row r="3" spans="1:17" x14ac:dyDescent="0.25">
      <c r="A3" s="2">
        <v>44958</v>
      </c>
      <c r="B3">
        <f>YEAR(tbl_finanza[[#This Row],[Data]])</f>
        <v>2023</v>
      </c>
      <c r="C3">
        <f>MONTH(tbl_finanza[[#This Row],[Data]])</f>
        <v>2</v>
      </c>
      <c r="D3" s="4">
        <v>15791</v>
      </c>
      <c r="E3" s="4">
        <v>6160</v>
      </c>
      <c r="F3" s="4">
        <v>4000</v>
      </c>
      <c r="G3" s="4">
        <v>1157</v>
      </c>
      <c r="H3" s="4">
        <f>+IF(tbl_finanza[Cash_Flow_Neto]&gt;0,tbl_finanza[Cash_Flow_Neto]*0.22,IF(tbl_finanza[Cash_Flow_Neto]&lt;0,0))</f>
        <v>0</v>
      </c>
      <c r="I3" s="4">
        <v>5607</v>
      </c>
      <c r="J3" s="4">
        <v>8462</v>
      </c>
      <c r="K3" s="4">
        <f>M2</f>
        <v>18105</v>
      </c>
      <c r="L3" s="4">
        <f>tbl_finanza[[#This Row],[Pagamenti_dei_clienti_(cash-in)]]-tbl_finanza[[#This Row],[Pagamenti_ai_fornitori_(cash-out)]]</f>
        <v>-2855</v>
      </c>
      <c r="M3" s="4">
        <f>tbl_finanza[[#This Row],[Cash_Iniziale]]+tbl_finanza[[#This Row],[Cash_Flow_Neto]]-tbl_finanza[Imposte Pagate]</f>
        <v>15250</v>
      </c>
      <c r="N3" s="4">
        <f>tbl_finanza[[#This Row],[Ricavi]]-tbl_finanza[[#This Row],[Costi Variabili]]</f>
        <v>9631</v>
      </c>
      <c r="O3" s="3">
        <f>tbl_finanza[[#This Row],[Margine_Lordo]]/tbl_finanza[[#This Row],[Ricavi]]</f>
        <v>0.60990437591032864</v>
      </c>
      <c r="P3" s="4">
        <f>tbl_finanza[[#This Row],[Margine_Lordo]]-tbl_finanza[[#This Row],[Costi fissi]]-tbl_finanza[[#This Row],[Altre spese operative]]</f>
        <v>4474</v>
      </c>
      <c r="Q3" t="str">
        <f>IF(tbl_finanza[Cash_Final]&lt;5000,"CRÍTICO",IF(tbl_finanza[Cash_Final]&lt;10000,"ATENCIÓN","OK"))</f>
        <v>OK</v>
      </c>
    </row>
    <row r="4" spans="1:17" x14ac:dyDescent="0.25">
      <c r="A4" s="2">
        <v>44986</v>
      </c>
      <c r="B4">
        <f>YEAR(tbl_finanza[[#This Row],[Data]])</f>
        <v>2023</v>
      </c>
      <c r="C4">
        <f>MONTH(tbl_finanza[[#This Row],[Data]])</f>
        <v>3</v>
      </c>
      <c r="D4" s="4">
        <v>20786</v>
      </c>
      <c r="E4" s="4">
        <v>6393</v>
      </c>
      <c r="F4" s="4">
        <v>4500</v>
      </c>
      <c r="G4" s="4">
        <v>2356</v>
      </c>
      <c r="H4" s="4">
        <f>+IF(tbl_finanza[Cash_Flow_Neto]&gt;0,tbl_finanza[Cash_Flow_Neto]*0.22,IF(tbl_finanza[Cash_Flow_Neto]&lt;0,0))</f>
        <v>780.56000000000006</v>
      </c>
      <c r="I4" s="4">
        <v>13803</v>
      </c>
      <c r="J4" s="4">
        <v>10255</v>
      </c>
      <c r="K4" s="4">
        <f t="shared" ref="K4:K25" si="0">M3</f>
        <v>15250</v>
      </c>
      <c r="L4" s="4">
        <f>tbl_finanza[[#This Row],[Pagamenti_dei_clienti_(cash-in)]]-tbl_finanza[[#This Row],[Pagamenti_ai_fornitori_(cash-out)]]</f>
        <v>3548</v>
      </c>
      <c r="M4" s="4">
        <f>tbl_finanza[[#This Row],[Cash_Iniziale]]+tbl_finanza[[#This Row],[Cash_Flow_Neto]]-tbl_finanza[Imposte Pagate]</f>
        <v>18017.439999999999</v>
      </c>
      <c r="N4" s="4">
        <f>tbl_finanza[[#This Row],[Ricavi]]-tbl_finanza[[#This Row],[Costi Variabili]]</f>
        <v>14393</v>
      </c>
      <c r="O4" s="3">
        <f>tbl_finanza[[#This Row],[Margine_Lordo]]/tbl_finanza[[#This Row],[Ricavi]]</f>
        <v>0.69243721735783703</v>
      </c>
      <c r="P4" s="4">
        <f>tbl_finanza[[#This Row],[Margine_Lordo]]-tbl_finanza[[#This Row],[Costi fissi]]-tbl_finanza[[#This Row],[Altre spese operative]]</f>
        <v>7537</v>
      </c>
      <c r="Q4" t="str">
        <f>IF(tbl_finanza[Cash_Final]&lt;5000,"CRÍTICO",IF(tbl_finanza[Cash_Final]&lt;10000,"ATENCIÓN","OK"))</f>
        <v>OK</v>
      </c>
    </row>
    <row r="5" spans="1:17" x14ac:dyDescent="0.25">
      <c r="A5" s="2">
        <v>45017</v>
      </c>
      <c r="B5">
        <f>YEAR(tbl_finanza[[#This Row],[Data]])</f>
        <v>2023</v>
      </c>
      <c r="C5">
        <f>MONTH(tbl_finanza[[#This Row],[Data]])</f>
        <v>4</v>
      </c>
      <c r="D5" s="4">
        <v>18715</v>
      </c>
      <c r="E5" s="4">
        <v>7962</v>
      </c>
      <c r="F5" s="4">
        <v>4500</v>
      </c>
      <c r="G5" s="4">
        <v>2030</v>
      </c>
      <c r="H5" s="4">
        <f>+IF(tbl_finanza[Cash_Flow_Neto]&gt;0,tbl_finanza[Cash_Flow_Neto]*0.22,IF(tbl_finanza[Cash_Flow_Neto]&lt;0,0))</f>
        <v>732.82</v>
      </c>
      <c r="I5" s="4">
        <v>15492</v>
      </c>
      <c r="J5" s="4">
        <v>12161</v>
      </c>
      <c r="K5" s="4">
        <f t="shared" si="0"/>
        <v>18017.439999999999</v>
      </c>
      <c r="L5" s="4">
        <f>tbl_finanza[[#This Row],[Pagamenti_dei_clienti_(cash-in)]]-tbl_finanza[[#This Row],[Pagamenti_ai_fornitori_(cash-out)]]</f>
        <v>3331</v>
      </c>
      <c r="M5" s="4">
        <f>tbl_finanza[[#This Row],[Cash_Iniziale]]+tbl_finanza[[#This Row],[Cash_Flow_Neto]]-tbl_finanza[Imposte Pagate]</f>
        <v>20615.62</v>
      </c>
      <c r="N5" s="4">
        <f>tbl_finanza[[#This Row],[Ricavi]]-tbl_finanza[[#This Row],[Costi Variabili]]</f>
        <v>10753</v>
      </c>
      <c r="O5" s="3">
        <f>tbl_finanza[[#This Row],[Margine_Lordo]]/tbl_finanza[[#This Row],[Ricavi]]</f>
        <v>0.5745658562650281</v>
      </c>
      <c r="P5" s="4">
        <f>tbl_finanza[[#This Row],[Margine_Lordo]]-tbl_finanza[[#This Row],[Costi fissi]]-tbl_finanza[[#This Row],[Altre spese operative]]</f>
        <v>4223</v>
      </c>
      <c r="Q5" t="str">
        <f>IF(tbl_finanza[Cash_Final]&lt;5000,"CRÍTICO",IF(tbl_finanza[Cash_Final]&lt;10000,"ATENCIÓN","OK"))</f>
        <v>OK</v>
      </c>
    </row>
    <row r="6" spans="1:17" x14ac:dyDescent="0.25">
      <c r="A6" s="2">
        <v>45047</v>
      </c>
      <c r="B6">
        <f>YEAR(tbl_finanza[[#This Row],[Data]])</f>
        <v>2023</v>
      </c>
      <c r="C6">
        <f>MONTH(tbl_finanza[[#This Row],[Data]])</f>
        <v>5</v>
      </c>
      <c r="D6" s="4">
        <v>22322</v>
      </c>
      <c r="E6" s="4">
        <v>10481</v>
      </c>
      <c r="F6" s="4">
        <v>5000</v>
      </c>
      <c r="G6" s="4">
        <v>2094</v>
      </c>
      <c r="H6" s="4">
        <f>+IF(tbl_finanza[Cash_Flow_Neto]&gt;0,tbl_finanza[Cash_Flow_Neto]*0.22,IF(tbl_finanza[Cash_Flow_Neto]&lt;0,0))</f>
        <v>0</v>
      </c>
      <c r="I6" s="4">
        <v>11471</v>
      </c>
      <c r="J6" s="4">
        <v>13867</v>
      </c>
      <c r="K6" s="4">
        <f t="shared" si="0"/>
        <v>20615.62</v>
      </c>
      <c r="L6" s="4">
        <f>tbl_finanza[[#This Row],[Pagamenti_dei_clienti_(cash-in)]]-tbl_finanza[[#This Row],[Pagamenti_ai_fornitori_(cash-out)]]</f>
        <v>-2396</v>
      </c>
      <c r="M6" s="4">
        <f>tbl_finanza[[#This Row],[Cash_Iniziale]]+tbl_finanza[[#This Row],[Cash_Flow_Neto]]-tbl_finanza[Imposte Pagate]</f>
        <v>18219.62</v>
      </c>
      <c r="N6" s="4">
        <f>tbl_finanza[[#This Row],[Ricavi]]-tbl_finanza[[#This Row],[Costi Variabili]]</f>
        <v>11841</v>
      </c>
      <c r="O6" s="3">
        <f>tbl_finanza[[#This Row],[Margine_Lordo]]/tbl_finanza[[#This Row],[Ricavi]]</f>
        <v>0.53046322014156433</v>
      </c>
      <c r="P6" s="4">
        <f>tbl_finanza[[#This Row],[Margine_Lordo]]-tbl_finanza[[#This Row],[Costi fissi]]-tbl_finanza[[#This Row],[Altre spese operative]]</f>
        <v>4747</v>
      </c>
      <c r="Q6" t="str">
        <f>IF(tbl_finanza[Cash_Final]&lt;5000,"CRÍTICO",IF(tbl_finanza[Cash_Final]&lt;10000,"ATENCIÓN","OK"))</f>
        <v>OK</v>
      </c>
    </row>
    <row r="7" spans="1:17" x14ac:dyDescent="0.25">
      <c r="A7" s="2">
        <v>45078</v>
      </c>
      <c r="B7">
        <f>YEAR(tbl_finanza[[#This Row],[Data]])</f>
        <v>2023</v>
      </c>
      <c r="C7">
        <f>MONTH(tbl_finanza[[#This Row],[Data]])</f>
        <v>6</v>
      </c>
      <c r="D7" s="4">
        <v>23990</v>
      </c>
      <c r="E7" s="4">
        <v>11942</v>
      </c>
      <c r="F7" s="4">
        <v>5000</v>
      </c>
      <c r="G7" s="4">
        <v>1813</v>
      </c>
      <c r="H7" s="4">
        <f>+IF(tbl_finanza[Cash_Flow_Neto]&gt;0,tbl_finanza[Cash_Flow_Neto]*0.22,IF(tbl_finanza[Cash_Flow_Neto]&lt;0,0))</f>
        <v>167.64000000000001</v>
      </c>
      <c r="I7" s="4">
        <v>16817</v>
      </c>
      <c r="J7" s="4">
        <v>16055</v>
      </c>
      <c r="K7" s="4">
        <f t="shared" si="0"/>
        <v>18219.62</v>
      </c>
      <c r="L7" s="4">
        <f>tbl_finanza[[#This Row],[Pagamenti_dei_clienti_(cash-in)]]-tbl_finanza[[#This Row],[Pagamenti_ai_fornitori_(cash-out)]]</f>
        <v>762</v>
      </c>
      <c r="M7" s="4">
        <f>tbl_finanza[[#This Row],[Cash_Iniziale]]+tbl_finanza[[#This Row],[Cash_Flow_Neto]]-tbl_finanza[Imposte Pagate]</f>
        <v>18813.98</v>
      </c>
      <c r="N7" s="4">
        <f>tbl_finanza[[#This Row],[Ricavi]]-tbl_finanza[[#This Row],[Costi Variabili]]</f>
        <v>12048</v>
      </c>
      <c r="O7" s="3">
        <f>tbl_finanza[[#This Row],[Margine_Lordo]]/tbl_finanza[[#This Row],[Ricavi]]</f>
        <v>0.5022092538557732</v>
      </c>
      <c r="P7" s="4">
        <f>tbl_finanza[[#This Row],[Margine_Lordo]]-tbl_finanza[[#This Row],[Costi fissi]]-tbl_finanza[[#This Row],[Altre spese operative]]</f>
        <v>5235</v>
      </c>
      <c r="Q7" t="str">
        <f>IF(tbl_finanza[Cash_Final]&lt;5000,"CRÍTICO",IF(tbl_finanza[Cash_Final]&lt;10000,"ATENCIÓN","OK"))</f>
        <v>OK</v>
      </c>
    </row>
    <row r="8" spans="1:17" x14ac:dyDescent="0.25">
      <c r="A8" s="2">
        <v>45108</v>
      </c>
      <c r="B8">
        <f>YEAR(tbl_finanza[[#This Row],[Data]])</f>
        <v>2023</v>
      </c>
      <c r="C8">
        <f>MONTH(tbl_finanza[[#This Row],[Data]])</f>
        <v>7</v>
      </c>
      <c r="D8" s="4">
        <v>24985</v>
      </c>
      <c r="E8" s="4">
        <v>10766</v>
      </c>
      <c r="F8" s="4">
        <v>5000</v>
      </c>
      <c r="G8" s="4">
        <v>1357</v>
      </c>
      <c r="H8" s="4">
        <f>+IF(tbl_finanza[Cash_Flow_Neto]&gt;0,tbl_finanza[Cash_Flow_Neto]*0.22,IF(tbl_finanza[Cash_Flow_Neto]&lt;0,0))</f>
        <v>0</v>
      </c>
      <c r="I8" s="4">
        <v>12368</v>
      </c>
      <c r="J8" s="4">
        <v>15521</v>
      </c>
      <c r="K8" s="4">
        <f t="shared" si="0"/>
        <v>18813.98</v>
      </c>
      <c r="L8" s="4">
        <f>tbl_finanza[[#This Row],[Pagamenti_dei_clienti_(cash-in)]]-tbl_finanza[[#This Row],[Pagamenti_ai_fornitori_(cash-out)]]</f>
        <v>-3153</v>
      </c>
      <c r="M8" s="4">
        <f>tbl_finanza[[#This Row],[Cash_Iniziale]]+tbl_finanza[[#This Row],[Cash_Flow_Neto]]-tbl_finanza[Imposte Pagate]</f>
        <v>15660.98</v>
      </c>
      <c r="N8" s="4">
        <f>tbl_finanza[[#This Row],[Ricavi]]-tbl_finanza[[#This Row],[Costi Variabili]]</f>
        <v>14219</v>
      </c>
      <c r="O8" s="3">
        <f>tbl_finanza[[#This Row],[Margine_Lordo]]/tbl_finanza[[#This Row],[Ricavi]]</f>
        <v>0.56910146087652591</v>
      </c>
      <c r="P8" s="4">
        <f>tbl_finanza[[#This Row],[Margine_Lordo]]-tbl_finanza[[#This Row],[Costi fissi]]-tbl_finanza[[#This Row],[Altre spese operative]]</f>
        <v>7862</v>
      </c>
      <c r="Q8" t="str">
        <f>IF(tbl_finanza[Cash_Final]&lt;5000,"CRÍTICO",IF(tbl_finanza[Cash_Final]&lt;10000,"ATENCIÓN","OK"))</f>
        <v>OK</v>
      </c>
    </row>
    <row r="9" spans="1:17" x14ac:dyDescent="0.25">
      <c r="A9" s="2">
        <v>45139</v>
      </c>
      <c r="B9">
        <f>YEAR(tbl_finanza[[#This Row],[Data]])</f>
        <v>2023</v>
      </c>
      <c r="C9">
        <f>MONTH(tbl_finanza[[#This Row],[Data]])</f>
        <v>8</v>
      </c>
      <c r="D9" s="4">
        <v>17817</v>
      </c>
      <c r="E9" s="4">
        <v>11459</v>
      </c>
      <c r="F9" s="4">
        <v>5000</v>
      </c>
      <c r="G9" s="4">
        <v>1722</v>
      </c>
      <c r="H9" s="4">
        <f>+IF(tbl_finanza[Cash_Flow_Neto]&gt;0,tbl_finanza[Cash_Flow_Neto]*0.22,IF(tbl_finanza[Cash_Flow_Neto]&lt;0,0))</f>
        <v>225.06</v>
      </c>
      <c r="I9" s="4">
        <v>15908</v>
      </c>
      <c r="J9" s="4">
        <v>14885</v>
      </c>
      <c r="K9" s="4">
        <f t="shared" si="0"/>
        <v>15660.98</v>
      </c>
      <c r="L9" s="4">
        <f>tbl_finanza[[#This Row],[Pagamenti_dei_clienti_(cash-in)]]-tbl_finanza[[#This Row],[Pagamenti_ai_fornitori_(cash-out)]]</f>
        <v>1023</v>
      </c>
      <c r="M9" s="4">
        <f>tbl_finanza[[#This Row],[Cash_Iniziale]]+tbl_finanza[[#This Row],[Cash_Flow_Neto]]-tbl_finanza[Imposte Pagate]</f>
        <v>16458.919999999998</v>
      </c>
      <c r="N9" s="4">
        <f>tbl_finanza[[#This Row],[Ricavi]]-tbl_finanza[[#This Row],[Costi Variabili]]</f>
        <v>6358</v>
      </c>
      <c r="O9" s="3">
        <f>tbl_finanza[[#This Row],[Margine_Lordo]]/tbl_finanza[[#This Row],[Ricavi]]</f>
        <v>0.35685019924790928</v>
      </c>
      <c r="P9" s="4">
        <f>tbl_finanza[[#This Row],[Margine_Lordo]]-tbl_finanza[[#This Row],[Costi fissi]]-tbl_finanza[[#This Row],[Altre spese operative]]</f>
        <v>-364</v>
      </c>
      <c r="Q9" t="str">
        <f>IF(tbl_finanza[Cash_Final]&lt;5000,"CRÍTICO",IF(tbl_finanza[Cash_Final]&lt;10000,"ATENCIÓN","OK"))</f>
        <v>OK</v>
      </c>
    </row>
    <row r="10" spans="1:17" x14ac:dyDescent="0.25">
      <c r="A10" s="2">
        <v>45170</v>
      </c>
      <c r="B10">
        <f>YEAR(tbl_finanza[[#This Row],[Data]])</f>
        <v>2023</v>
      </c>
      <c r="C10">
        <f>MONTH(tbl_finanza[[#This Row],[Data]])</f>
        <v>9</v>
      </c>
      <c r="D10" s="4">
        <v>23769</v>
      </c>
      <c r="E10" s="4">
        <v>11896</v>
      </c>
      <c r="F10" s="4">
        <v>5000</v>
      </c>
      <c r="G10" s="4">
        <v>1406</v>
      </c>
      <c r="H10" s="4">
        <f>+IF(tbl_finanza[Cash_Flow_Neto]&gt;0,tbl_finanza[Cash_Flow_Neto]*0.22,IF(tbl_finanza[Cash_Flow_Neto]&lt;0,0))</f>
        <v>0</v>
      </c>
      <c r="I10" s="4">
        <v>8413</v>
      </c>
      <c r="J10" s="4">
        <v>15875</v>
      </c>
      <c r="K10" s="4">
        <f t="shared" si="0"/>
        <v>16458.919999999998</v>
      </c>
      <c r="L10" s="4">
        <f>tbl_finanza[[#This Row],[Pagamenti_dei_clienti_(cash-in)]]-tbl_finanza[[#This Row],[Pagamenti_ai_fornitori_(cash-out)]]</f>
        <v>-7462</v>
      </c>
      <c r="M10" s="4">
        <f>tbl_finanza[[#This Row],[Cash_Iniziale]]+tbl_finanza[[#This Row],[Cash_Flow_Neto]]-tbl_finanza[Imposte Pagate]</f>
        <v>8996.9199999999983</v>
      </c>
      <c r="N10" s="4">
        <f>tbl_finanza[[#This Row],[Ricavi]]-tbl_finanza[[#This Row],[Costi Variabili]]</f>
        <v>11873</v>
      </c>
      <c r="O10" s="3">
        <f>tbl_finanza[[#This Row],[Margine_Lordo]]/tbl_finanza[[#This Row],[Ricavi]]</f>
        <v>0.49951617653245822</v>
      </c>
      <c r="P10" s="4">
        <f>tbl_finanza[[#This Row],[Margine_Lordo]]-tbl_finanza[[#This Row],[Costi fissi]]-tbl_finanza[[#This Row],[Altre spese operative]]</f>
        <v>5467</v>
      </c>
      <c r="Q10" t="str">
        <f>IF(tbl_finanza[Cash_Final]&lt;5000,"CRÍTICO",IF(tbl_finanza[Cash_Final]&lt;10000,"ATENCIÓN","OK"))</f>
        <v>ATENCIÓN</v>
      </c>
    </row>
    <row r="11" spans="1:17" x14ac:dyDescent="0.25">
      <c r="A11" s="2">
        <v>45200</v>
      </c>
      <c r="B11">
        <f>YEAR(tbl_finanza[[#This Row],[Data]])</f>
        <v>2023</v>
      </c>
      <c r="C11">
        <f>MONTH(tbl_finanza[[#This Row],[Data]])</f>
        <v>10</v>
      </c>
      <c r="D11" s="4">
        <v>20936</v>
      </c>
      <c r="E11" s="4">
        <v>6701</v>
      </c>
      <c r="F11" s="4">
        <v>5000</v>
      </c>
      <c r="G11" s="4">
        <v>1481</v>
      </c>
      <c r="H11" s="4">
        <f>+IF(tbl_finanza[Cash_Flow_Neto]&gt;0,tbl_finanza[Cash_Flow_Neto]*0.22,IF(tbl_finanza[Cash_Flow_Neto]&lt;0,0))</f>
        <v>0</v>
      </c>
      <c r="I11" s="4">
        <v>7565</v>
      </c>
      <c r="J11" s="4">
        <v>11244</v>
      </c>
      <c r="K11" s="4">
        <f t="shared" si="0"/>
        <v>8996.9199999999983</v>
      </c>
      <c r="L11" s="4">
        <f>tbl_finanza[[#This Row],[Pagamenti_dei_clienti_(cash-in)]]-tbl_finanza[[#This Row],[Pagamenti_ai_fornitori_(cash-out)]]</f>
        <v>-3679</v>
      </c>
      <c r="M11" s="4">
        <f>tbl_finanza[[#This Row],[Cash_Iniziale]]+tbl_finanza[[#This Row],[Cash_Flow_Neto]]-tbl_finanza[Imposte Pagate]</f>
        <v>5317.9199999999983</v>
      </c>
      <c r="N11" s="4">
        <f>tbl_finanza[[#This Row],[Ricavi]]-tbl_finanza[[#This Row],[Costi Variabili]]</f>
        <v>14235</v>
      </c>
      <c r="O11" s="3">
        <f>tbl_finanza[[#This Row],[Margine_Lordo]]/tbl_finanza[[#This Row],[Ricavi]]</f>
        <v>0.67992930836836074</v>
      </c>
      <c r="P11" s="4">
        <f>tbl_finanza[[#This Row],[Margine_Lordo]]-tbl_finanza[[#This Row],[Costi fissi]]-tbl_finanza[[#This Row],[Altre spese operative]]</f>
        <v>7754</v>
      </c>
      <c r="Q11" t="str">
        <f>IF(tbl_finanza[Cash_Final]&lt;5000,"CRÍTICO",IF(tbl_finanza[Cash_Final]&lt;10000,"ATENCIÓN","OK"))</f>
        <v>ATENCIÓN</v>
      </c>
    </row>
    <row r="12" spans="1:17" x14ac:dyDescent="0.25">
      <c r="A12" s="2">
        <v>45231</v>
      </c>
      <c r="B12">
        <f>YEAR(tbl_finanza[[#This Row],[Data]])</f>
        <v>2023</v>
      </c>
      <c r="C12">
        <f>MONTH(tbl_finanza[[#This Row],[Data]])</f>
        <v>11</v>
      </c>
      <c r="D12" s="4">
        <v>15619</v>
      </c>
      <c r="E12" s="4">
        <v>7994</v>
      </c>
      <c r="F12" s="4">
        <v>5500</v>
      </c>
      <c r="G12" s="4">
        <v>1632</v>
      </c>
      <c r="H12" s="4">
        <f>+IF(tbl_finanza[Cash_Flow_Neto]&gt;0,tbl_finanza[Cash_Flow_Neto]*0.22,IF(tbl_finanza[Cash_Flow_Neto]&lt;0,0))</f>
        <v>0</v>
      </c>
      <c r="I12" s="4">
        <v>12195</v>
      </c>
      <c r="J12" s="4">
        <v>13314</v>
      </c>
      <c r="K12" s="4">
        <f t="shared" si="0"/>
        <v>5317.9199999999983</v>
      </c>
      <c r="L12" s="4">
        <f>tbl_finanza[[#This Row],[Pagamenti_dei_clienti_(cash-in)]]-tbl_finanza[[#This Row],[Pagamenti_ai_fornitori_(cash-out)]]</f>
        <v>-1119</v>
      </c>
      <c r="M12" s="4">
        <f>tbl_finanza[[#This Row],[Cash_Iniziale]]+tbl_finanza[[#This Row],[Cash_Flow_Neto]]-tbl_finanza[Imposte Pagate]</f>
        <v>4198.9199999999983</v>
      </c>
      <c r="N12" s="4">
        <f>tbl_finanza[[#This Row],[Ricavi]]-tbl_finanza[[#This Row],[Costi Variabili]]</f>
        <v>7625</v>
      </c>
      <c r="O12" s="3">
        <f>tbl_finanza[[#This Row],[Margine_Lordo]]/tbl_finanza[[#This Row],[Ricavi]]</f>
        <v>0.48818746398617069</v>
      </c>
      <c r="P12" s="4">
        <f>tbl_finanza[[#This Row],[Margine_Lordo]]-tbl_finanza[[#This Row],[Costi fissi]]-tbl_finanza[[#This Row],[Altre spese operative]]</f>
        <v>493</v>
      </c>
      <c r="Q12" t="str">
        <f>IF(tbl_finanza[Cash_Final]&lt;5000,"CRÍTICO",IF(tbl_finanza[Cash_Final]&lt;10000,"ATENCIÓN","OK"))</f>
        <v>CRÍTICO</v>
      </c>
    </row>
    <row r="13" spans="1:17" x14ac:dyDescent="0.25">
      <c r="A13" s="2">
        <v>45261</v>
      </c>
      <c r="B13">
        <f>YEAR(tbl_finanza[[#This Row],[Data]])</f>
        <v>2023</v>
      </c>
      <c r="C13">
        <f>MONTH(tbl_finanza[[#This Row],[Data]])</f>
        <v>12</v>
      </c>
      <c r="D13" s="4">
        <v>29921</v>
      </c>
      <c r="E13" s="4">
        <v>11727</v>
      </c>
      <c r="F13" s="4">
        <v>5500</v>
      </c>
      <c r="G13" s="4">
        <v>2305</v>
      </c>
      <c r="H13" s="4">
        <f>+IF(tbl_finanza[Cash_Flow_Neto]&gt;0,tbl_finanza[Cash_Flow_Neto]*0.22,IF(tbl_finanza[Cash_Flow_Neto]&lt;0,0))</f>
        <v>0</v>
      </c>
      <c r="I13" s="4">
        <v>6888</v>
      </c>
      <c r="J13" s="4">
        <v>16274</v>
      </c>
      <c r="K13" s="4">
        <f t="shared" si="0"/>
        <v>4198.9199999999983</v>
      </c>
      <c r="L13" s="4">
        <f>tbl_finanza[[#This Row],[Pagamenti_dei_clienti_(cash-in)]]-tbl_finanza[[#This Row],[Pagamenti_ai_fornitori_(cash-out)]]</f>
        <v>-9386</v>
      </c>
      <c r="M13" s="4">
        <f>tbl_finanza[[#This Row],[Cash_Iniziale]]+tbl_finanza[[#This Row],[Cash_Flow_Neto]]-tbl_finanza[Imposte Pagate]</f>
        <v>-5187.0800000000017</v>
      </c>
      <c r="N13" s="4">
        <f>tbl_finanza[[#This Row],[Ricavi]]-tbl_finanza[[#This Row],[Costi Variabili]]</f>
        <v>18194</v>
      </c>
      <c r="O13" s="3">
        <f>tbl_finanza[[#This Row],[Margine_Lordo]]/tbl_finanza[[#This Row],[Ricavi]]</f>
        <v>0.60806791216871092</v>
      </c>
      <c r="P13" s="4">
        <f>tbl_finanza[[#This Row],[Margine_Lordo]]-tbl_finanza[[#This Row],[Costi fissi]]-tbl_finanza[[#This Row],[Altre spese operative]]</f>
        <v>10389</v>
      </c>
      <c r="Q13" t="str">
        <f>IF(tbl_finanza[Cash_Final]&lt;5000,"CRÍTICO",IF(tbl_finanza[Cash_Final]&lt;10000,"ATENCIÓN","OK"))</f>
        <v>CRÍTICO</v>
      </c>
    </row>
    <row r="14" spans="1:17" x14ac:dyDescent="0.25">
      <c r="A14" s="2">
        <v>45292</v>
      </c>
      <c r="B14">
        <f>YEAR(tbl_finanza[[#This Row],[Data]])</f>
        <v>2024</v>
      </c>
      <c r="C14">
        <f>MONTH(tbl_finanza[[#This Row],[Data]])</f>
        <v>1</v>
      </c>
      <c r="D14" s="4">
        <v>22267</v>
      </c>
      <c r="E14" s="4">
        <v>9477</v>
      </c>
      <c r="F14" s="4">
        <v>5500</v>
      </c>
      <c r="G14" s="4">
        <v>2400</v>
      </c>
      <c r="H14" s="4">
        <f>+IF(tbl_finanza[Cash_Flow_Neto]&gt;0,tbl_finanza[Cash_Flow_Neto]*0.22,IF(tbl_finanza[Cash_Flow_Neto]&lt;0,0))</f>
        <v>1695.98</v>
      </c>
      <c r="I14" s="4">
        <v>21159</v>
      </c>
      <c r="J14" s="4">
        <v>13450</v>
      </c>
      <c r="K14" s="4">
        <f t="shared" si="0"/>
        <v>-5187.0800000000017</v>
      </c>
      <c r="L14" s="4">
        <f>tbl_finanza[[#This Row],[Pagamenti_dei_clienti_(cash-in)]]-tbl_finanza[[#This Row],[Pagamenti_ai_fornitori_(cash-out)]]</f>
        <v>7709</v>
      </c>
      <c r="M14" s="4">
        <f>tbl_finanza[[#This Row],[Cash_Iniziale]]+tbl_finanza[[#This Row],[Cash_Flow_Neto]]-tbl_finanza[Imposte Pagate]</f>
        <v>825.93999999999824</v>
      </c>
      <c r="N14" s="4">
        <f>tbl_finanza[[#This Row],[Ricavi]]-tbl_finanza[[#This Row],[Costi Variabili]]</f>
        <v>12790</v>
      </c>
      <c r="O14" s="3">
        <f>tbl_finanza[[#This Row],[Margine_Lordo]]/tbl_finanza[[#This Row],[Ricavi]]</f>
        <v>0.57439259891318994</v>
      </c>
      <c r="P14" s="4">
        <f>tbl_finanza[[#This Row],[Margine_Lordo]]-tbl_finanza[[#This Row],[Costi fissi]]-tbl_finanza[[#This Row],[Altre spese operative]]</f>
        <v>4890</v>
      </c>
      <c r="Q14" t="str">
        <f>IF(tbl_finanza[Cash_Final]&lt;5000,"CRÍTICO",IF(tbl_finanza[Cash_Final]&lt;10000,"ATENCIÓN","OK"))</f>
        <v>CRÍTICO</v>
      </c>
    </row>
    <row r="15" spans="1:17" x14ac:dyDescent="0.25">
      <c r="A15" s="2">
        <v>45323</v>
      </c>
      <c r="B15">
        <f>YEAR(tbl_finanza[[#This Row],[Data]])</f>
        <v>2024</v>
      </c>
      <c r="C15">
        <f>MONTH(tbl_finanza[[#This Row],[Data]])</f>
        <v>2</v>
      </c>
      <c r="D15" s="4">
        <v>27261</v>
      </c>
      <c r="E15" s="4">
        <v>11394</v>
      </c>
      <c r="F15" s="4">
        <v>5500</v>
      </c>
      <c r="G15" s="4">
        <v>1591</v>
      </c>
      <c r="H15" s="4">
        <f>+IF(tbl_finanza[Cash_Flow_Neto]&gt;0,tbl_finanza[Cash_Flow_Neto]*0.22,IF(tbl_finanza[Cash_Flow_Neto]&lt;0,0))</f>
        <v>0</v>
      </c>
      <c r="I15" s="4">
        <v>10561</v>
      </c>
      <c r="J15" s="4">
        <v>15832</v>
      </c>
      <c r="K15" s="4">
        <f t="shared" si="0"/>
        <v>825.93999999999824</v>
      </c>
      <c r="L15" s="4">
        <f>tbl_finanza[[#This Row],[Pagamenti_dei_clienti_(cash-in)]]-tbl_finanza[[#This Row],[Pagamenti_ai_fornitori_(cash-out)]]</f>
        <v>-5271</v>
      </c>
      <c r="M15" s="4">
        <f>tbl_finanza[[#This Row],[Cash_Iniziale]]+tbl_finanza[[#This Row],[Cash_Flow_Neto]]-tbl_finanza[Imposte Pagate]</f>
        <v>-4445.0600000000013</v>
      </c>
      <c r="N15" s="4">
        <f>tbl_finanza[[#This Row],[Ricavi]]-tbl_finanza[[#This Row],[Costi Variabili]]</f>
        <v>15867</v>
      </c>
      <c r="O15" s="3">
        <f>tbl_finanza[[#This Row],[Margine_Lordo]]/tbl_finanza[[#This Row],[Ricavi]]</f>
        <v>0.58204027731924723</v>
      </c>
      <c r="P15" s="4">
        <f>tbl_finanza[[#This Row],[Margine_Lordo]]-tbl_finanza[[#This Row],[Costi fissi]]-tbl_finanza[[#This Row],[Altre spese operative]]</f>
        <v>8776</v>
      </c>
      <c r="Q15" t="str">
        <f>IF(tbl_finanza[Cash_Final]&lt;5000,"CRÍTICO",IF(tbl_finanza[Cash_Final]&lt;10000,"ATENCIÓN","OK"))</f>
        <v>CRÍTICO</v>
      </c>
    </row>
    <row r="16" spans="1:17" x14ac:dyDescent="0.25">
      <c r="A16" s="2">
        <v>45352</v>
      </c>
      <c r="B16">
        <f>YEAR(tbl_finanza[[#This Row],[Data]])</f>
        <v>2024</v>
      </c>
      <c r="C16">
        <f>MONTH(tbl_finanza[[#This Row],[Data]])</f>
        <v>3</v>
      </c>
      <c r="D16" s="4">
        <v>24553</v>
      </c>
      <c r="E16" s="4">
        <v>9427</v>
      </c>
      <c r="F16" s="4">
        <v>5800</v>
      </c>
      <c r="G16" s="4">
        <v>1096</v>
      </c>
      <c r="H16" s="4">
        <f>+IF(tbl_finanza[Cash_Flow_Neto]&gt;0,tbl_finanza[Cash_Flow_Neto]*0.22,IF(tbl_finanza[Cash_Flow_Neto]&lt;0,0))</f>
        <v>621.5</v>
      </c>
      <c r="I16" s="4">
        <v>17002</v>
      </c>
      <c r="J16" s="4">
        <v>14177</v>
      </c>
      <c r="K16" s="4">
        <f t="shared" si="0"/>
        <v>-4445.0600000000013</v>
      </c>
      <c r="L16" s="4">
        <f>tbl_finanza[[#This Row],[Pagamenti_dei_clienti_(cash-in)]]-tbl_finanza[[#This Row],[Pagamenti_ai_fornitori_(cash-out)]]</f>
        <v>2825</v>
      </c>
      <c r="M16" s="4">
        <f>tbl_finanza[[#This Row],[Cash_Iniziale]]+tbl_finanza[[#This Row],[Cash_Flow_Neto]]-tbl_finanza[Imposte Pagate]</f>
        <v>-2241.5600000000013</v>
      </c>
      <c r="N16" s="4">
        <f>tbl_finanza[[#This Row],[Ricavi]]-tbl_finanza[[#This Row],[Costi Variabili]]</f>
        <v>15126</v>
      </c>
      <c r="O16" s="3">
        <f>tbl_finanza[[#This Row],[Margine_Lordo]]/tbl_finanza[[#This Row],[Ricavi]]</f>
        <v>0.61605506455422965</v>
      </c>
      <c r="P16" s="4">
        <f>tbl_finanza[[#This Row],[Margine_Lordo]]-tbl_finanza[[#This Row],[Costi fissi]]-tbl_finanza[[#This Row],[Altre spese operative]]</f>
        <v>8230</v>
      </c>
      <c r="Q16" t="str">
        <f>IF(tbl_finanza[Cash_Final]&lt;5000,"CRÍTICO",IF(tbl_finanza[Cash_Final]&lt;10000,"ATENCIÓN","OK"))</f>
        <v>CRÍTICO</v>
      </c>
    </row>
    <row r="17" spans="1:17" x14ac:dyDescent="0.25">
      <c r="A17" s="2">
        <v>45383</v>
      </c>
      <c r="B17">
        <f>YEAR(tbl_finanza[[#This Row],[Data]])</f>
        <v>2024</v>
      </c>
      <c r="C17">
        <f>MONTH(tbl_finanza[[#This Row],[Data]])</f>
        <v>4</v>
      </c>
      <c r="D17" s="4">
        <v>25097</v>
      </c>
      <c r="E17" s="4">
        <v>9678</v>
      </c>
      <c r="F17" s="4">
        <v>5800</v>
      </c>
      <c r="G17" s="4">
        <v>1434</v>
      </c>
      <c r="H17" s="4">
        <f>+IF(tbl_finanza[Cash_Flow_Neto]&gt;0,tbl_finanza[Cash_Flow_Neto]*0.22,IF(tbl_finanza[Cash_Flow_Neto]&lt;0,0))</f>
        <v>0</v>
      </c>
      <c r="I17" s="4">
        <v>12847</v>
      </c>
      <c r="J17" s="4">
        <v>14392</v>
      </c>
      <c r="K17" s="4">
        <f t="shared" si="0"/>
        <v>-2241.5600000000013</v>
      </c>
      <c r="L17" s="4">
        <f>tbl_finanza[[#This Row],[Pagamenti_dei_clienti_(cash-in)]]-tbl_finanza[[#This Row],[Pagamenti_ai_fornitori_(cash-out)]]</f>
        <v>-1545</v>
      </c>
      <c r="M17" s="4">
        <f>tbl_finanza[[#This Row],[Cash_Iniziale]]+tbl_finanza[[#This Row],[Cash_Flow_Neto]]-tbl_finanza[Imposte Pagate]</f>
        <v>-3786.5600000000013</v>
      </c>
      <c r="N17" s="4">
        <f>tbl_finanza[[#This Row],[Ricavi]]-tbl_finanza[[#This Row],[Costi Variabili]]</f>
        <v>15419</v>
      </c>
      <c r="O17" s="3">
        <f>tbl_finanza[[#This Row],[Margine_Lordo]]/tbl_finanza[[#This Row],[Ricavi]]</f>
        <v>0.61437622026537031</v>
      </c>
      <c r="P17" s="4">
        <f>tbl_finanza[[#This Row],[Margine_Lordo]]-tbl_finanza[[#This Row],[Costi fissi]]-tbl_finanza[[#This Row],[Altre spese operative]]</f>
        <v>8185</v>
      </c>
      <c r="Q17" t="str">
        <f>IF(tbl_finanza[Cash_Final]&lt;5000,"CRÍTICO",IF(tbl_finanza[Cash_Final]&lt;10000,"ATENCIÓN","OK"))</f>
        <v>CRÍTICO</v>
      </c>
    </row>
    <row r="18" spans="1:17" x14ac:dyDescent="0.25">
      <c r="A18" s="2">
        <v>45413</v>
      </c>
      <c r="B18">
        <f>YEAR(tbl_finanza[[#This Row],[Data]])</f>
        <v>2024</v>
      </c>
      <c r="C18">
        <f>MONTH(tbl_finanza[[#This Row],[Data]])</f>
        <v>5</v>
      </c>
      <c r="D18" s="4">
        <v>22485</v>
      </c>
      <c r="E18" s="4">
        <v>10047</v>
      </c>
      <c r="F18" s="4">
        <v>5800</v>
      </c>
      <c r="G18" s="4">
        <v>2362</v>
      </c>
      <c r="H18" s="4">
        <f>+IF(tbl_finanza[Cash_Flow_Neto]&gt;0,tbl_finanza[Cash_Flow_Neto]*0.22,IF(tbl_finanza[Cash_Flow_Neto]&lt;0,0))</f>
        <v>114.84</v>
      </c>
      <c r="I18" s="4">
        <v>15623</v>
      </c>
      <c r="J18" s="4">
        <v>15101</v>
      </c>
      <c r="K18" s="4">
        <f t="shared" si="0"/>
        <v>-3786.5600000000013</v>
      </c>
      <c r="L18" s="4">
        <f>tbl_finanza[[#This Row],[Pagamenti_dei_clienti_(cash-in)]]-tbl_finanza[[#This Row],[Pagamenti_ai_fornitori_(cash-out)]]</f>
        <v>522</v>
      </c>
      <c r="M18" s="4">
        <f>tbl_finanza[[#This Row],[Cash_Iniziale]]+tbl_finanza[[#This Row],[Cash_Flow_Neto]]-tbl_finanza[Imposte Pagate]</f>
        <v>-3379.4000000000015</v>
      </c>
      <c r="N18" s="4">
        <f>tbl_finanza[[#This Row],[Ricavi]]-tbl_finanza[[#This Row],[Costi Variabili]]</f>
        <v>12438</v>
      </c>
      <c r="O18" s="3">
        <f>tbl_finanza[[#This Row],[Margine_Lordo]]/tbl_finanza[[#This Row],[Ricavi]]</f>
        <v>0.55316877918612406</v>
      </c>
      <c r="P18" s="4">
        <f>tbl_finanza[[#This Row],[Margine_Lordo]]-tbl_finanza[[#This Row],[Costi fissi]]-tbl_finanza[[#This Row],[Altre spese operative]]</f>
        <v>4276</v>
      </c>
      <c r="Q18" t="str">
        <f>IF(tbl_finanza[Cash_Final]&lt;5000,"CRÍTICO",IF(tbl_finanza[Cash_Final]&lt;10000,"ATENCIÓN","OK"))</f>
        <v>CRÍTICO</v>
      </c>
    </row>
    <row r="19" spans="1:17" x14ac:dyDescent="0.25">
      <c r="A19" s="2">
        <v>45444</v>
      </c>
      <c r="B19">
        <f>YEAR(tbl_finanza[[#This Row],[Data]])</f>
        <v>2024</v>
      </c>
      <c r="C19">
        <f>MONTH(tbl_finanza[[#This Row],[Data]])</f>
        <v>6</v>
      </c>
      <c r="D19" s="4">
        <v>16852</v>
      </c>
      <c r="E19" s="4">
        <v>9888</v>
      </c>
      <c r="F19" s="4">
        <v>6000</v>
      </c>
      <c r="G19" s="4">
        <v>2229</v>
      </c>
      <c r="H19" s="4">
        <f>+IF(tbl_finanza[Cash_Flow_Neto]&gt;0,tbl_finanza[Cash_Flow_Neto]*0.22,IF(tbl_finanza[Cash_Flow_Neto]&lt;0,0))</f>
        <v>0</v>
      </c>
      <c r="I19" s="4">
        <v>11629</v>
      </c>
      <c r="J19" s="4">
        <v>15613</v>
      </c>
      <c r="K19" s="4">
        <f t="shared" si="0"/>
        <v>-3379.4000000000015</v>
      </c>
      <c r="L19" s="4">
        <f>tbl_finanza[[#This Row],[Pagamenti_dei_clienti_(cash-in)]]-tbl_finanza[[#This Row],[Pagamenti_ai_fornitori_(cash-out)]]</f>
        <v>-3984</v>
      </c>
      <c r="M19" s="4">
        <f>tbl_finanza[[#This Row],[Cash_Iniziale]]+tbl_finanza[[#This Row],[Cash_Flow_Neto]]-tbl_finanza[Imposte Pagate]</f>
        <v>-7363.4000000000015</v>
      </c>
      <c r="N19" s="4">
        <f>tbl_finanza[[#This Row],[Ricavi]]-tbl_finanza[[#This Row],[Costi Variabili]]</f>
        <v>6964</v>
      </c>
      <c r="O19" s="3">
        <f>tbl_finanza[[#This Row],[Margine_Lordo]]/tbl_finanza[[#This Row],[Ricavi]]</f>
        <v>0.41324471872774743</v>
      </c>
      <c r="P19" s="4">
        <f>tbl_finanza[[#This Row],[Margine_Lordo]]-tbl_finanza[[#This Row],[Costi fissi]]-tbl_finanza[[#This Row],[Altre spese operative]]</f>
        <v>-1265</v>
      </c>
      <c r="Q19" t="str">
        <f>IF(tbl_finanza[Cash_Final]&lt;5000,"CRÍTICO",IF(tbl_finanza[Cash_Final]&lt;10000,"ATENCIÓN","OK"))</f>
        <v>CRÍTICO</v>
      </c>
    </row>
    <row r="20" spans="1:17" x14ac:dyDescent="0.25">
      <c r="A20" s="2">
        <v>45474</v>
      </c>
      <c r="B20">
        <f>YEAR(tbl_finanza[[#This Row],[Data]])</f>
        <v>2024</v>
      </c>
      <c r="C20">
        <f>MONTH(tbl_finanza[[#This Row],[Data]])</f>
        <v>7</v>
      </c>
      <c r="D20" s="4">
        <v>17550</v>
      </c>
      <c r="E20" s="4">
        <v>6333</v>
      </c>
      <c r="F20" s="4">
        <v>6200</v>
      </c>
      <c r="G20" s="4">
        <v>2348</v>
      </c>
      <c r="H20" s="4">
        <f>+IF(tbl_finanza[Cash_Flow_Neto]&gt;0,tbl_finanza[Cash_Flow_Neto]*0.22,IF(tbl_finanza[Cash_Flow_Neto]&lt;0,0))</f>
        <v>2371.6</v>
      </c>
      <c r="I20" s="4">
        <v>21617</v>
      </c>
      <c r="J20" s="4">
        <v>10837</v>
      </c>
      <c r="K20" s="4">
        <f t="shared" si="0"/>
        <v>-7363.4000000000015</v>
      </c>
      <c r="L20" s="4">
        <f>tbl_finanza[[#This Row],[Pagamenti_dei_clienti_(cash-in)]]-tbl_finanza[[#This Row],[Pagamenti_ai_fornitori_(cash-out)]]</f>
        <v>10780</v>
      </c>
      <c r="M20" s="4">
        <f>tbl_finanza[[#This Row],[Cash_Iniziale]]+tbl_finanza[[#This Row],[Cash_Flow_Neto]]-tbl_finanza[Imposte Pagate]</f>
        <v>1044.9999999999986</v>
      </c>
      <c r="N20" s="4">
        <f>tbl_finanza[[#This Row],[Ricavi]]-tbl_finanza[[#This Row],[Costi Variabili]]</f>
        <v>11217</v>
      </c>
      <c r="O20" s="3">
        <f>tbl_finanza[[#This Row],[Margine_Lordo]]/tbl_finanza[[#This Row],[Ricavi]]</f>
        <v>0.63914529914529916</v>
      </c>
      <c r="P20" s="4">
        <f>tbl_finanza[[#This Row],[Margine_Lordo]]-tbl_finanza[[#This Row],[Costi fissi]]-tbl_finanza[[#This Row],[Altre spese operative]]</f>
        <v>2669</v>
      </c>
      <c r="Q20" t="str">
        <f>IF(tbl_finanza[Cash_Final]&lt;5000,"CRÍTICO",IF(tbl_finanza[Cash_Final]&lt;10000,"ATENCIÓN","OK"))</f>
        <v>CRÍTICO</v>
      </c>
    </row>
    <row r="21" spans="1:17" x14ac:dyDescent="0.25">
      <c r="A21" s="2">
        <v>45505</v>
      </c>
      <c r="B21">
        <f>YEAR(tbl_finanza[[#This Row],[Data]])</f>
        <v>2024</v>
      </c>
      <c r="C21">
        <f>MONTH(tbl_finanza[[#This Row],[Data]])</f>
        <v>8</v>
      </c>
      <c r="D21" s="4">
        <v>19160</v>
      </c>
      <c r="E21" s="4">
        <v>10503</v>
      </c>
      <c r="F21" s="4">
        <v>6000</v>
      </c>
      <c r="G21" s="4">
        <v>1314</v>
      </c>
      <c r="H21" s="4">
        <f>+IF(tbl_finanza[Cash_Flow_Neto]&gt;0,tbl_finanza[Cash_Flow_Neto]*0.22,IF(tbl_finanza[Cash_Flow_Neto]&lt;0,0))</f>
        <v>1246.96</v>
      </c>
      <c r="I21" s="4">
        <v>21899</v>
      </c>
      <c r="J21" s="4">
        <v>16231</v>
      </c>
      <c r="K21" s="4">
        <f t="shared" si="0"/>
        <v>1044.9999999999986</v>
      </c>
      <c r="L21" s="4">
        <f>tbl_finanza[[#This Row],[Pagamenti_dei_clienti_(cash-in)]]-tbl_finanza[[#This Row],[Pagamenti_ai_fornitori_(cash-out)]]</f>
        <v>5668</v>
      </c>
      <c r="M21" s="4">
        <f>tbl_finanza[[#This Row],[Cash_Iniziale]]+tbl_finanza[[#This Row],[Cash_Flow_Neto]]-tbl_finanza[Imposte Pagate]</f>
        <v>5466.0399999999981</v>
      </c>
      <c r="N21" s="4">
        <f>tbl_finanza[[#This Row],[Ricavi]]-tbl_finanza[[#This Row],[Costi Variabili]]</f>
        <v>8657</v>
      </c>
      <c r="O21" s="3">
        <f>tbl_finanza[[#This Row],[Margine_Lordo]]/tbl_finanza[[#This Row],[Ricavi]]</f>
        <v>0.45182672233820459</v>
      </c>
      <c r="P21" s="4">
        <f>tbl_finanza[[#This Row],[Margine_Lordo]]-tbl_finanza[[#This Row],[Costi fissi]]-tbl_finanza[[#This Row],[Altre spese operative]]</f>
        <v>1343</v>
      </c>
      <c r="Q21" t="str">
        <f>IF(tbl_finanza[Cash_Final]&lt;5000,"CRÍTICO",IF(tbl_finanza[Cash_Final]&lt;10000,"ATENCIÓN","OK"))</f>
        <v>ATENCIÓN</v>
      </c>
    </row>
    <row r="22" spans="1:17" x14ac:dyDescent="0.25">
      <c r="A22" s="2">
        <v>45536</v>
      </c>
      <c r="B22">
        <f>YEAR(tbl_finanza[[#This Row],[Data]])</f>
        <v>2024</v>
      </c>
      <c r="C22">
        <f>MONTH(tbl_finanza[[#This Row],[Data]])</f>
        <v>9</v>
      </c>
      <c r="D22" s="4">
        <v>15135</v>
      </c>
      <c r="E22" s="4">
        <v>6117</v>
      </c>
      <c r="F22" s="4">
        <v>6100</v>
      </c>
      <c r="G22" s="4">
        <v>1468</v>
      </c>
      <c r="H22" s="4">
        <f>+IF(tbl_finanza[Cash_Flow_Neto]&gt;0,tbl_finanza[Cash_Flow_Neto]*0.22,IF(tbl_finanza[Cash_Flow_Neto]&lt;0,0))</f>
        <v>524.04</v>
      </c>
      <c r="I22" s="4">
        <v>14137</v>
      </c>
      <c r="J22" s="4">
        <v>11755</v>
      </c>
      <c r="K22" s="4">
        <f t="shared" si="0"/>
        <v>5466.0399999999981</v>
      </c>
      <c r="L22" s="4">
        <f>tbl_finanza[[#This Row],[Pagamenti_dei_clienti_(cash-in)]]-tbl_finanza[[#This Row],[Pagamenti_ai_fornitori_(cash-out)]]</f>
        <v>2382</v>
      </c>
      <c r="M22" s="4">
        <f>tbl_finanza[[#This Row],[Cash_Iniziale]]+tbl_finanza[[#This Row],[Cash_Flow_Neto]]-tbl_finanza[Imposte Pagate]</f>
        <v>7323.9999999999982</v>
      </c>
      <c r="N22" s="4">
        <f>tbl_finanza[[#This Row],[Ricavi]]-tbl_finanza[[#This Row],[Costi Variabili]]</f>
        <v>9018</v>
      </c>
      <c r="O22" s="3">
        <f>tbl_finanza[[#This Row],[Margine_Lordo]]/tbl_finanza[[#This Row],[Ricavi]]</f>
        <v>0.59583746283448957</v>
      </c>
      <c r="P22" s="4">
        <f>tbl_finanza[[#This Row],[Margine_Lordo]]-tbl_finanza[[#This Row],[Costi fissi]]-tbl_finanza[[#This Row],[Altre spese operative]]</f>
        <v>1450</v>
      </c>
      <c r="Q22" t="str">
        <f>IF(tbl_finanza[Cash_Final]&lt;5000,"CRÍTICO",IF(tbl_finanza[Cash_Final]&lt;10000,"ATENCIÓN","OK"))</f>
        <v>ATENCIÓN</v>
      </c>
    </row>
    <row r="23" spans="1:17" x14ac:dyDescent="0.25">
      <c r="A23" s="2">
        <v>45566</v>
      </c>
      <c r="B23">
        <f>YEAR(tbl_finanza[[#This Row],[Data]])</f>
        <v>2024</v>
      </c>
      <c r="C23">
        <f>MONTH(tbl_finanza[[#This Row],[Data]])</f>
        <v>10</v>
      </c>
      <c r="D23" s="4">
        <v>25603</v>
      </c>
      <c r="E23" s="4">
        <v>11352</v>
      </c>
      <c r="F23" s="4">
        <v>6100</v>
      </c>
      <c r="G23" s="4">
        <v>1591</v>
      </c>
      <c r="H23" s="4">
        <f>+IF(tbl_finanza[Cash_Flow_Neto]&gt;0,tbl_finanza[Cash_Flow_Neto]*0.22,IF(tbl_finanza[Cash_Flow_Neto]&lt;0,0))</f>
        <v>0</v>
      </c>
      <c r="I23" s="4">
        <v>16922</v>
      </c>
      <c r="J23" s="4">
        <v>17032</v>
      </c>
      <c r="K23" s="4">
        <f t="shared" si="0"/>
        <v>7323.9999999999982</v>
      </c>
      <c r="L23" s="4">
        <f>tbl_finanza[[#This Row],[Pagamenti_dei_clienti_(cash-in)]]-tbl_finanza[[#This Row],[Pagamenti_ai_fornitori_(cash-out)]]</f>
        <v>-110</v>
      </c>
      <c r="M23" s="4">
        <f>tbl_finanza[[#This Row],[Cash_Iniziale]]+tbl_finanza[[#This Row],[Cash_Flow_Neto]]-tbl_finanza[Imposte Pagate]</f>
        <v>7213.9999999999982</v>
      </c>
      <c r="N23" s="4">
        <f>tbl_finanza[[#This Row],[Ricavi]]-tbl_finanza[[#This Row],[Costi Variabili]]</f>
        <v>14251</v>
      </c>
      <c r="O23" s="3">
        <f>tbl_finanza[[#This Row],[Margine_Lordo]]/tbl_finanza[[#This Row],[Ricavi]]</f>
        <v>0.55661445924305741</v>
      </c>
      <c r="P23" s="4">
        <f>tbl_finanza[[#This Row],[Margine_Lordo]]-tbl_finanza[[#This Row],[Costi fissi]]-tbl_finanza[[#This Row],[Altre spese operative]]</f>
        <v>6560</v>
      </c>
      <c r="Q23" t="str">
        <f>IF(tbl_finanza[Cash_Final]&lt;5000,"CRÍTICO",IF(tbl_finanza[Cash_Final]&lt;10000,"ATENCIÓN","OK"))</f>
        <v>ATENCIÓN</v>
      </c>
    </row>
    <row r="24" spans="1:17" x14ac:dyDescent="0.25">
      <c r="A24" s="2">
        <v>45597</v>
      </c>
      <c r="B24">
        <f>YEAR(tbl_finanza[[#This Row],[Data]])</f>
        <v>2024</v>
      </c>
      <c r="C24">
        <f>MONTH(tbl_finanza[[#This Row],[Data]])</f>
        <v>11</v>
      </c>
      <c r="D24" s="4">
        <v>16668</v>
      </c>
      <c r="E24" s="4">
        <v>6770</v>
      </c>
      <c r="F24" s="4">
        <v>6100</v>
      </c>
      <c r="G24" s="4">
        <v>1880</v>
      </c>
      <c r="H24" s="4">
        <f>+IF(tbl_finanza[Cash_Flow_Neto]&gt;0,tbl_finanza[Cash_Flow_Neto]*0.22,IF(tbl_finanza[Cash_Flow_Neto]&lt;0,0))</f>
        <v>2099.2400000000002</v>
      </c>
      <c r="I24" s="4">
        <v>21958</v>
      </c>
      <c r="J24" s="4">
        <v>12416</v>
      </c>
      <c r="K24" s="4">
        <f t="shared" si="0"/>
        <v>7213.9999999999982</v>
      </c>
      <c r="L24" s="4">
        <f>tbl_finanza[[#This Row],[Pagamenti_dei_clienti_(cash-in)]]-tbl_finanza[[#This Row],[Pagamenti_ai_fornitori_(cash-out)]]</f>
        <v>9542</v>
      </c>
      <c r="M24" s="4">
        <f>tbl_finanza[[#This Row],[Cash_Iniziale]]+tbl_finanza[[#This Row],[Cash_Flow_Neto]]-tbl_finanza[Imposte Pagate]</f>
        <v>14656.76</v>
      </c>
      <c r="N24" s="4">
        <f>tbl_finanza[[#This Row],[Ricavi]]-tbl_finanza[[#This Row],[Costi Variabili]]</f>
        <v>9898</v>
      </c>
      <c r="O24" s="3">
        <f>tbl_finanza[[#This Row],[Margine_Lordo]]/tbl_finanza[[#This Row],[Ricavi]]</f>
        <v>0.59383249340052791</v>
      </c>
      <c r="P24" s="4">
        <f>tbl_finanza[[#This Row],[Margine_Lordo]]-tbl_finanza[[#This Row],[Costi fissi]]-tbl_finanza[[#This Row],[Altre spese operative]]</f>
        <v>1918</v>
      </c>
      <c r="Q24" t="str">
        <f>IF(tbl_finanza[Cash_Final]&lt;5000,"CRÍTICO",IF(tbl_finanza[Cash_Final]&lt;10000,"ATENCIÓN","OK"))</f>
        <v>OK</v>
      </c>
    </row>
    <row r="25" spans="1:17" x14ac:dyDescent="0.25">
      <c r="A25" s="2">
        <v>45627</v>
      </c>
      <c r="B25">
        <f>YEAR(tbl_finanza[[#This Row],[Data]])</f>
        <v>2024</v>
      </c>
      <c r="C25">
        <f>MONTH(tbl_finanza[[#This Row],[Data]])</f>
        <v>12</v>
      </c>
      <c r="D25" s="4">
        <v>19540</v>
      </c>
      <c r="E25" s="4">
        <v>10849</v>
      </c>
      <c r="F25" s="4">
        <v>7000</v>
      </c>
      <c r="G25" s="4">
        <v>1844</v>
      </c>
      <c r="H25" s="4">
        <f>+IF(tbl_finanza[Cash_Flow_Neto]&gt;0,tbl_finanza[Cash_Flow_Neto]*0.22,IF(tbl_finanza[Cash_Flow_Neto]&lt;0,0))</f>
        <v>872.3</v>
      </c>
      <c r="I25" s="4">
        <v>20272</v>
      </c>
      <c r="J25" s="4">
        <v>16307</v>
      </c>
      <c r="K25" s="4">
        <f t="shared" si="0"/>
        <v>14656.76</v>
      </c>
      <c r="L25" s="4">
        <f>tbl_finanza[[#This Row],[Pagamenti_dei_clienti_(cash-in)]]-tbl_finanza[[#This Row],[Pagamenti_ai_fornitori_(cash-out)]]</f>
        <v>3965</v>
      </c>
      <c r="M25" s="4">
        <f>tbl_finanza[[#This Row],[Cash_Iniziale]]+tbl_finanza[[#This Row],[Cash_Flow_Neto]]-tbl_finanza[Imposte Pagate]</f>
        <v>17749.460000000003</v>
      </c>
      <c r="N25" s="4">
        <f>tbl_finanza[[#This Row],[Ricavi]]-tbl_finanza[[#This Row],[Costi Variabili]]</f>
        <v>8691</v>
      </c>
      <c r="O25" s="3">
        <f>tbl_finanza[[#This Row],[Margine_Lordo]]/tbl_finanza[[#This Row],[Ricavi]]</f>
        <v>0.4447799385875128</v>
      </c>
      <c r="P25" s="4">
        <f>tbl_finanza[[#This Row],[Margine_Lordo]]-tbl_finanza[[#This Row],[Costi fissi]]-tbl_finanza[[#This Row],[Altre spese operative]]</f>
        <v>-153</v>
      </c>
      <c r="Q25" t="str">
        <f>IF(tbl_finanza[Cash_Final]&lt;5000,"CRÍTICO",IF(tbl_finanza[Cash_Final]&lt;10000,"ATENCIÓN","OK"))</f>
        <v>OK</v>
      </c>
    </row>
    <row r="26" spans="1:17" x14ac:dyDescent="0.25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Peralta Borjas</dc:creator>
  <cp:lastModifiedBy>Jay Peralta Borjas</cp:lastModifiedBy>
  <dcterms:created xsi:type="dcterms:W3CDTF">2025-11-13T13:42:17Z</dcterms:created>
  <dcterms:modified xsi:type="dcterms:W3CDTF">2025-11-17T15:40:56Z</dcterms:modified>
</cp:coreProperties>
</file>